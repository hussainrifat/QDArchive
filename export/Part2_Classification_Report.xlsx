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ist1 Dryad QDA_PROJECT" sheetId="2" state="visible" r:id="rId2"/>
    <sheet xmlns:r="http://schemas.openxmlformats.org/officeDocument/2006/relationships" name="Dist2 Dryad QD_PROJECT" sheetId="3" state="visible" r:id="rId3"/>
    <sheet xmlns:r="http://schemas.openxmlformats.org/officeDocument/2006/relationships" name="Dist3 FSD QDA_PROJECT" sheetId="4" state="visible" r:id="rId4"/>
    <sheet xmlns:r="http://schemas.openxmlformats.org/officeDocument/2006/relationships" name="Dist4 FSD QD_PROJECT" sheetId="5" state="visible" r:id="rId5"/>
    <sheet xmlns:r="http://schemas.openxmlformats.org/officeDocument/2006/relationships" name="Technical Challen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2E4057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FFFFFF"/>
      <sz val="13"/>
    </font>
    <font>
      <name val="Arial"/>
      <i val="1"/>
      <sz val="10"/>
    </font>
    <font>
      <b val="1"/>
    </font>
    <font>
      <name val="Arial"/>
      <i val="1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3D5A80"/>
      </patternFill>
    </fill>
    <fill>
      <patternFill patternType="solid">
        <fgColor rgb="00048A81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0" fillId="5" borderId="1" pivotButton="0" quotePrefix="0" xfId="0"/>
    <xf numFmtId="164" fontId="0" fillId="0" borderId="1" pivotButton="0" quotePrefix="0" xfId="0"/>
    <xf numFmtId="0" fontId="5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0" fontId="6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wrapText="1"/>
    </xf>
    <xf numFmtId="164" fontId="0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11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ISIC Section Distribution — All Projects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'Overview'!$A$21:$A$28</f>
            </numRef>
          </cat>
          <val>
            <numRef>
              <f>'Overview'!$C$21:$C$28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ISIC Section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Projects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2: Dryad QD_PROJECT by ISIC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'Dist2 Dryad QD_PROJECT'!D4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'Dist2 Dryad QD_PROJECT'!$A$5:$A$13</f>
            </numRef>
          </cat>
          <val>
            <numRef>
              <f>'Dist2 Dryad QD_PROJECT'!$D$5:$D$13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Projects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4" customWidth="1" min="4" max="4"/>
    <col width="14" customWidth="1" min="5" max="5"/>
  </cols>
  <sheetData>
    <row r="1" ht="35" customHeight="1">
      <c r="A1" s="1" t="inlineStr">
        <is>
          <t>Seeding QDArchive — Part 2: Classification Report</t>
        </is>
      </c>
    </row>
    <row r="2" ht="20" customHeight="1">
      <c r="A2" s="2" t="inlineStr">
        <is>
          <t>Student: Jakir Hussain Rifat (23025313) | Course: FAU Erlangen Winter 2025/26</t>
        </is>
      </c>
    </row>
    <row r="4">
      <c r="A4" s="3" t="inlineStr">
        <is>
          <t>Summary</t>
        </is>
      </c>
    </row>
    <row r="5" ht="22" customHeight="1">
      <c r="A5" s="4" t="inlineStr">
        <is>
          <t>Repository</t>
        </is>
      </c>
      <c r="B5" s="4" t="inlineStr">
        <is>
          <t>Project Type</t>
        </is>
      </c>
      <c r="C5" s="4" t="inlineStr">
        <is>
          <t>Count</t>
        </is>
      </c>
      <c r="D5" s="4" t="inlineStr">
        <is>
          <t>% of Repo</t>
        </is>
      </c>
      <c r="E5" s="4" t="inlineStr">
        <is>
          <t>% of Total</t>
        </is>
      </c>
    </row>
    <row r="6">
      <c r="A6" s="5" t="inlineStr">
        <is>
          <t>Dryad</t>
        </is>
      </c>
      <c r="B6" s="5" t="inlineStr">
        <is>
          <t>QDA_PROJECT</t>
        </is>
      </c>
      <c r="C6" s="6" t="n">
        <v>1</v>
      </c>
      <c r="D6" s="7">
        <f>C6/SUM($C$6:$C$10)</f>
        <v/>
      </c>
      <c r="E6" s="7">
        <f>C6/SUM($C$6:$C$10)</f>
        <v/>
      </c>
    </row>
    <row r="7">
      <c r="A7" s="8" t="inlineStr">
        <is>
          <t>Dryad</t>
        </is>
      </c>
      <c r="B7" s="8" t="inlineStr">
        <is>
          <t>QD_PROJECT</t>
        </is>
      </c>
      <c r="C7" s="9" t="n">
        <v>340</v>
      </c>
      <c r="D7" s="10">
        <f>C7/SUM($C$6:$C$10)</f>
        <v/>
      </c>
      <c r="E7" s="10">
        <f>C7/SUM($C$6:$C$10)</f>
        <v/>
      </c>
    </row>
    <row r="8">
      <c r="A8" s="5" t="inlineStr">
        <is>
          <t>Dryad</t>
        </is>
      </c>
      <c r="B8" s="5" t="inlineStr">
        <is>
          <t>OTHER_PROJECT</t>
        </is>
      </c>
      <c r="C8" s="6" t="n">
        <v>498</v>
      </c>
      <c r="D8" s="7">
        <f>C8/SUM($C$6:$C$10)</f>
        <v/>
      </c>
      <c r="E8" s="7">
        <f>C8/SUM($C$6:$C$10)</f>
        <v/>
      </c>
    </row>
    <row r="9">
      <c r="A9" s="8" t="inlineStr">
        <is>
          <t>Dryad</t>
        </is>
      </c>
      <c r="B9" s="8" t="inlineStr">
        <is>
          <t>NOT_A_PROJECT</t>
        </is>
      </c>
      <c r="C9" s="9" t="n">
        <v>14</v>
      </c>
      <c r="D9" s="10">
        <f>C9/SUM($C$6:$C$10)</f>
        <v/>
      </c>
      <c r="E9" s="10">
        <f>C9/SUM($C$6:$C$10)</f>
        <v/>
      </c>
    </row>
    <row r="10">
      <c r="A10" s="11" t="inlineStr">
        <is>
          <t>Dryad</t>
        </is>
      </c>
      <c r="B10" s="11" t="inlineStr">
        <is>
          <t>TOTAL</t>
        </is>
      </c>
      <c r="C10" s="12">
        <f>SUM(C6:C9)</f>
        <v/>
      </c>
      <c r="D10" s="13" t="inlineStr"/>
      <c r="E10" s="13" t="inlineStr"/>
    </row>
    <row r="11">
      <c r="A11" s="8" t="inlineStr">
        <is>
          <t>FSD Finland</t>
        </is>
      </c>
      <c r="B11" s="8" t="inlineStr">
        <is>
          <t>QDA_PROJECT</t>
        </is>
      </c>
      <c r="C11" s="9" t="n">
        <v>0</v>
      </c>
      <c r="D11" s="10">
        <f>C12/SUM($C$12:$C$14)</f>
        <v/>
      </c>
      <c r="E11" s="10">
        <f>C12/SUM($C$6:$C$10)</f>
        <v/>
      </c>
    </row>
    <row r="12">
      <c r="A12" s="5" t="inlineStr">
        <is>
          <t>FSD Finland</t>
        </is>
      </c>
      <c r="B12" s="5" t="inlineStr">
        <is>
          <t>QD_PROJECT</t>
        </is>
      </c>
      <c r="C12" s="6" t="n">
        <v>4</v>
      </c>
      <c r="D12" s="7">
        <f>C13/SUM($C$12:$C$14)</f>
        <v/>
      </c>
      <c r="E12" s="7">
        <f>C13/SUM($C$6:$C$10)</f>
        <v/>
      </c>
    </row>
    <row r="13">
      <c r="A13" s="8" t="inlineStr">
        <is>
          <t>FSD Finland</t>
        </is>
      </c>
      <c r="B13" s="8" t="inlineStr">
        <is>
          <t>OTHER_PROJECT</t>
        </is>
      </c>
      <c r="C13" s="9" t="n">
        <v>399</v>
      </c>
      <c r="D13" s="10">
        <f>C14/SUM($C$12:$C$14)</f>
        <v/>
      </c>
      <c r="E13" s="10">
        <f>C14/SUM($C$6:$C$10)</f>
        <v/>
      </c>
    </row>
    <row r="14">
      <c r="A14" s="11" t="inlineStr">
        <is>
          <t>FSD Finland</t>
        </is>
      </c>
      <c r="B14" s="11" t="inlineStr">
        <is>
          <t>TOTAL</t>
        </is>
      </c>
      <c r="C14" s="12">
        <f>SUM(C12:C14)</f>
        <v/>
      </c>
      <c r="D14" s="13" t="inlineStr"/>
      <c r="E14" s="13" t="inlineStr"/>
    </row>
    <row r="15">
      <c r="A15" s="8" t="inlineStr">
        <is>
          <t>GRAND TOTAL</t>
        </is>
      </c>
      <c r="B15" s="8" t="inlineStr">
        <is>
          <t>ALL</t>
        </is>
      </c>
      <c r="C15" s="9">
        <f>C10+C15</f>
        <v/>
      </c>
      <c r="D15" s="10" t="inlineStr"/>
      <c r="E15" s="10">
        <f>C16/C16</f>
        <v/>
      </c>
    </row>
    <row r="19">
      <c r="A19" s="3" t="inlineStr">
        <is>
          <t>ISIC Rev. 5 Overall Distribution (all 1,256 projects)</t>
        </is>
      </c>
    </row>
    <row r="20">
      <c r="A20" s="4" t="inlineStr">
        <is>
          <t>ISIC Section Code</t>
        </is>
      </c>
      <c r="B20" s="4" t="inlineStr">
        <is>
          <t>Section Name</t>
        </is>
      </c>
      <c r="C20" s="4" t="inlineStr">
        <is>
          <t>Count</t>
        </is>
      </c>
      <c r="D20" s="4" t="inlineStr">
        <is>
          <t>% of Total</t>
        </is>
      </c>
    </row>
    <row r="21">
      <c r="A21" s="6" t="inlineStr">
        <is>
          <t>N</t>
        </is>
      </c>
      <c r="B21" s="5" t="inlineStr">
        <is>
          <t>Professional, scientific and technical activities</t>
        </is>
      </c>
      <c r="C21" s="6" t="n">
        <v>647</v>
      </c>
      <c r="D21" s="14">
        <f>C21/1256</f>
        <v/>
      </c>
    </row>
    <row r="22">
      <c r="A22" s="9" t="inlineStr">
        <is>
          <t>R</t>
        </is>
      </c>
      <c r="B22" s="8" t="inlineStr">
        <is>
          <t>Human health and social work activities</t>
        </is>
      </c>
      <c r="C22" s="9" t="n">
        <v>384</v>
      </c>
      <c r="D22" s="15">
        <f>C22/1256</f>
        <v/>
      </c>
    </row>
    <row r="23">
      <c r="A23" s="6" t="inlineStr">
        <is>
          <t>A</t>
        </is>
      </c>
      <c r="B23" s="5" t="inlineStr">
        <is>
          <t>Agriculture, forestry and fishing</t>
        </is>
      </c>
      <c r="C23" s="6" t="n">
        <v>84</v>
      </c>
      <c r="D23" s="14">
        <f>C23/1256</f>
        <v/>
      </c>
    </row>
    <row r="24">
      <c r="A24" s="9" t="inlineStr">
        <is>
          <t>Q</t>
        </is>
      </c>
      <c r="B24" s="8" t="inlineStr">
        <is>
          <t>Education</t>
        </is>
      </c>
      <c r="C24" s="9" t="n">
        <v>77</v>
      </c>
      <c r="D24" s="15">
        <f>C24/1256</f>
        <v/>
      </c>
    </row>
    <row r="25">
      <c r="A25" s="6" t="inlineStr">
        <is>
          <t>S</t>
        </is>
      </c>
      <c r="B25" s="5" t="inlineStr">
        <is>
          <t>Arts, entertainment and recreation</t>
        </is>
      </c>
      <c r="C25" s="6" t="n">
        <v>43</v>
      </c>
      <c r="D25" s="14">
        <f>C25/1256</f>
        <v/>
      </c>
    </row>
    <row r="26">
      <c r="A26" s="9" t="inlineStr">
        <is>
          <t>P</t>
        </is>
      </c>
      <c r="B26" s="8" t="inlineStr">
        <is>
          <t>Public administration and defence</t>
        </is>
      </c>
      <c r="C26" s="9" t="n">
        <v>18</v>
      </c>
      <c r="D26" s="15">
        <f>C26/1256</f>
        <v/>
      </c>
    </row>
    <row r="27">
      <c r="A27" s="6" t="inlineStr">
        <is>
          <t>K</t>
        </is>
      </c>
      <c r="B27" s="5" t="inlineStr">
        <is>
          <t>Telecommunications and IT</t>
        </is>
      </c>
      <c r="C27" s="6" t="n">
        <v>2</v>
      </c>
      <c r="D27" s="14">
        <f>C27/1256</f>
        <v/>
      </c>
    </row>
    <row r="28">
      <c r="A28" s="9" t="inlineStr">
        <is>
          <t>L</t>
        </is>
      </c>
      <c r="B28" s="8" t="inlineStr">
        <is>
          <t>Financial and insurance activities</t>
        </is>
      </c>
      <c r="C28" s="9" t="n">
        <v>1</v>
      </c>
      <c r="D28" s="15">
        <f>C28/1256</f>
        <v/>
      </c>
    </row>
    <row r="29">
      <c r="A29" s="11" t="inlineStr">
        <is>
          <t>TOTAL</t>
        </is>
      </c>
      <c r="B29" s="16" t="inlineStr"/>
      <c r="C29" s="17">
        <f>SUM(C21:C28)</f>
        <v/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8" customWidth="1" min="3" max="3"/>
    <col width="10" customWidth="1" min="4" max="4"/>
    <col width="12" customWidth="1" min="5" max="5"/>
  </cols>
  <sheetData>
    <row r="1" ht="30" customHeight="1">
      <c r="A1" s="18" t="inlineStr">
        <is>
          <t>Distribution 1: Dryad — QDA_PROJECT by ISIC Section</t>
        </is>
      </c>
    </row>
    <row r="2">
      <c r="A2" s="2" t="inlineStr">
        <is>
          <t>Total QDA projects in Dryad: 1  |  These are projects with QDA analysis files (.qdpx, .nvp etc.)</t>
        </is>
      </c>
    </row>
    <row r="4">
      <c r="A4" s="4" t="inlineStr">
        <is>
          <t>ISIC Code</t>
        </is>
      </c>
      <c r="B4" s="4" t="inlineStr">
        <is>
          <t>Section Name</t>
        </is>
      </c>
      <c r="C4" s="4" t="inlineStr">
        <is>
          <t>Division Name</t>
        </is>
      </c>
      <c r="D4" s="4" t="inlineStr">
        <is>
          <t>Count</t>
        </is>
      </c>
      <c r="E4" s="4" t="inlineStr">
        <is>
          <t>% of Dist.</t>
        </is>
      </c>
    </row>
    <row r="5">
      <c r="A5" s="9" t="inlineStr">
        <is>
          <t>R-86</t>
        </is>
      </c>
      <c r="B5" s="8" t="inlineStr">
        <is>
          <t>Human health and social work activities</t>
        </is>
      </c>
      <c r="C5" s="8" t="inlineStr">
        <is>
          <t>Human health activities</t>
        </is>
      </c>
      <c r="D5" s="9" t="n">
        <v>1</v>
      </c>
      <c r="E5" s="19">
        <f>D5/1</f>
        <v/>
      </c>
    </row>
    <row r="7" ht="40" customHeight="1">
      <c r="A7" s="20" t="inlineStr">
        <is>
          <t>NOTE</t>
        </is>
      </c>
      <c r="B7" s="21" t="inlineStr">
        <is>
          <t>Only 1 QDA_PROJECT found in Dryad — a NVivo (.nvp) file from a health research study. QDA files are rarely deposited in open repositories, which is the motivation for QDArchive.</t>
        </is>
      </c>
    </row>
  </sheetData>
  <mergeCells count="3">
    <mergeCell ref="A2:E2"/>
    <mergeCell ref="B7:E7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10" customWidth="1" min="4" max="4"/>
    <col width="12" customWidth="1" min="5" max="5"/>
  </cols>
  <sheetData>
    <row r="1" ht="30" customHeight="1">
      <c r="A1" s="18" t="inlineStr">
        <is>
          <t>Distribution 2: Dryad — QD_PROJECT by ISIC Section &amp; Division</t>
        </is>
      </c>
    </row>
    <row r="2">
      <c r="A2" s="2" t="inlineStr">
        <is>
          <t>Total QD projects in Dryad: 340  |  Projects with primary data files (PDF, DOCX, TXT etc.) but no QDA file</t>
        </is>
      </c>
    </row>
    <row r="4">
      <c r="A4" s="4" t="inlineStr">
        <is>
          <t>ISIC Code</t>
        </is>
      </c>
      <c r="B4" s="4" t="inlineStr">
        <is>
          <t>Section Name</t>
        </is>
      </c>
      <c r="C4" s="4" t="inlineStr">
        <is>
          <t>Division Name</t>
        </is>
      </c>
      <c r="D4" s="4" t="inlineStr">
        <is>
          <t>Count</t>
        </is>
      </c>
      <c r="E4" s="4" t="inlineStr">
        <is>
          <t>% of Dist.</t>
        </is>
      </c>
    </row>
    <row r="5">
      <c r="A5" s="6" t="inlineStr">
        <is>
          <t>N-72</t>
        </is>
      </c>
      <c r="B5" s="5" t="inlineStr">
        <is>
          <t>Professional, scientific and technical activities</t>
        </is>
      </c>
      <c r="C5" s="5" t="inlineStr">
        <is>
          <t>Scientific research and development</t>
        </is>
      </c>
      <c r="D5" s="6" t="n">
        <v>205</v>
      </c>
      <c r="E5" s="22">
        <f>D5/340</f>
        <v/>
      </c>
    </row>
    <row r="6">
      <c r="A6" s="9" t="inlineStr">
        <is>
          <t>R-86</t>
        </is>
      </c>
      <c r="B6" s="8" t="inlineStr">
        <is>
          <t>Human health and social work activities</t>
        </is>
      </c>
      <c r="C6" s="8" t="inlineStr">
        <is>
          <t>Human health activities</t>
        </is>
      </c>
      <c r="D6" s="9" t="n">
        <v>92</v>
      </c>
      <c r="E6" s="19">
        <f>D6/340</f>
        <v/>
      </c>
    </row>
    <row r="7">
      <c r="A7" s="6" t="inlineStr">
        <is>
          <t>A-01</t>
        </is>
      </c>
      <c r="B7" s="5" t="inlineStr">
        <is>
          <t>Agriculture, forestry and fishing</t>
        </is>
      </c>
      <c r="C7" s="5" t="inlineStr">
        <is>
          <t>Crop and animal production</t>
        </is>
      </c>
      <c r="D7" s="6" t="n">
        <v>30</v>
      </c>
      <c r="E7" s="22">
        <f>D7/340</f>
        <v/>
      </c>
    </row>
    <row r="8">
      <c r="A8" s="9" t="inlineStr">
        <is>
          <t>Q-85</t>
        </is>
      </c>
      <c r="B8" s="8" t="inlineStr">
        <is>
          <t>Education</t>
        </is>
      </c>
      <c r="C8" s="8" t="inlineStr">
        <is>
          <t>Education</t>
        </is>
      </c>
      <c r="D8" s="9" t="n">
        <v>6</v>
      </c>
      <c r="E8" s="19">
        <f>D8/340</f>
        <v/>
      </c>
    </row>
    <row r="9">
      <c r="A9" s="6" t="inlineStr">
        <is>
          <t>P-84</t>
        </is>
      </c>
      <c r="B9" s="5" t="inlineStr">
        <is>
          <t>Public administration and defence</t>
        </is>
      </c>
      <c r="C9" s="5" t="inlineStr">
        <is>
          <t>Public administration and defence</t>
        </is>
      </c>
      <c r="D9" s="6" t="n">
        <v>2</v>
      </c>
      <c r="E9" s="22">
        <f>D9/340</f>
        <v/>
      </c>
    </row>
    <row r="10">
      <c r="A10" s="9" t="inlineStr">
        <is>
          <t>R-88</t>
        </is>
      </c>
      <c r="B10" s="8" t="inlineStr">
        <is>
          <t>Human health and social work activities</t>
        </is>
      </c>
      <c r="C10" s="8" t="inlineStr">
        <is>
          <t>Social work activities without accommodation</t>
        </is>
      </c>
      <c r="D10" s="9" t="n">
        <v>2</v>
      </c>
      <c r="E10" s="19">
        <f>D10/340</f>
        <v/>
      </c>
    </row>
    <row r="11">
      <c r="A11" s="6" t="inlineStr">
        <is>
          <t>A-03</t>
        </is>
      </c>
      <c r="B11" s="5" t="inlineStr">
        <is>
          <t>Agriculture, forestry and fishing</t>
        </is>
      </c>
      <c r="C11" s="5" t="inlineStr">
        <is>
          <t>Fishing and aquaculture</t>
        </is>
      </c>
      <c r="D11" s="6" t="n">
        <v>1</v>
      </c>
      <c r="E11" s="22">
        <f>D11/340</f>
        <v/>
      </c>
    </row>
    <row r="12">
      <c r="A12" s="9" t="inlineStr">
        <is>
          <t>K-72</t>
        </is>
      </c>
      <c r="B12" s="8" t="inlineStr">
        <is>
          <t>Telecommunications and IT</t>
        </is>
      </c>
      <c r="C12" s="8" t="inlineStr">
        <is>
          <t>Scientific research and development</t>
        </is>
      </c>
      <c r="D12" s="9" t="n">
        <v>1</v>
      </c>
      <c r="E12" s="19">
        <f>D12/340</f>
        <v/>
      </c>
    </row>
    <row r="13">
      <c r="A13" s="6" t="inlineStr">
        <is>
          <t>S-91</t>
        </is>
      </c>
      <c r="B13" s="5" t="inlineStr">
        <is>
          <t>Arts, entertainment and recreation</t>
        </is>
      </c>
      <c r="C13" s="5" t="inlineStr">
        <is>
          <t>Libraries, archives, museums and cultural activities</t>
        </is>
      </c>
      <c r="D13" s="6" t="n">
        <v>1</v>
      </c>
      <c r="E13" s="22">
        <f>D13/340</f>
        <v/>
      </c>
    </row>
    <row r="14">
      <c r="A14" s="11" t="inlineStr">
        <is>
          <t>TOTAL</t>
        </is>
      </c>
      <c r="D14" s="23">
        <f>SUM(D5:D13)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8" customWidth="1" min="3" max="3"/>
    <col width="10" customWidth="1" min="4" max="4"/>
    <col width="42" customWidth="1" min="5" max="5"/>
  </cols>
  <sheetData>
    <row r="1" ht="30" customHeight="1">
      <c r="A1" s="18" t="inlineStr">
        <is>
          <t>Distribution 3: FSD Finland — QDA_PROJECT by ISIC Section</t>
        </is>
      </c>
    </row>
    <row r="2">
      <c r="A2" s="2" t="inlineStr">
        <is>
          <t>Total QDA projects in FSD: 0  |  FSD data files require Aila login — no QDA files publicly accessible</t>
        </is>
      </c>
    </row>
    <row r="4">
      <c r="A4" s="4" t="inlineStr">
        <is>
          <t>ISIC Code</t>
        </is>
      </c>
      <c r="B4" s="4" t="inlineStr">
        <is>
          <t>Section Name</t>
        </is>
      </c>
      <c r="C4" s="4" t="inlineStr">
        <is>
          <t>Division Name</t>
        </is>
      </c>
      <c r="D4" s="4" t="inlineStr">
        <is>
          <t>Count</t>
        </is>
      </c>
      <c r="E4" s="4" t="inlineStr">
        <is>
          <t>Note</t>
        </is>
      </c>
    </row>
    <row r="5">
      <c r="A5" s="24" t="inlineStr">
        <is>
          <t>N/A</t>
        </is>
      </c>
      <c r="B5" s="25" t="inlineStr">
        <is>
          <t>No QDA_PROJECT entries</t>
        </is>
      </c>
      <c r="C5" s="25" t="inlineStr">
        <is>
          <t>N/A</t>
        </is>
      </c>
      <c r="D5" s="24" t="n">
        <v>0</v>
      </c>
      <c r="E5" s="25" t="inlineStr">
        <is>
          <t>FSD has no publicly accessible QDA files</t>
        </is>
      </c>
    </row>
    <row r="7" ht="60" customHeight="1">
      <c r="A7" s="26" t="inlineStr">
        <is>
          <t>Explanation: All 403 FSD Finland studies require login to the Aila Data Service to access data files (interview transcripts, written responses). Only DDI-C 2.5 XML metadata files are publicly available. Since no data files could be downloaded, no QDA files were found. FSD projects are classified as OTHER_PROJECT (no downloadable files) or QD_PROJECT (metadata only). This is a platform constraint, not a data gap.</t>
        </is>
      </c>
    </row>
    <row r="8" ht="20" customHeight="1"/>
  </sheetData>
  <mergeCells count="3">
    <mergeCell ref="A2:E2"/>
    <mergeCell ref="A1:E1"/>
    <mergeCell ref="A7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10" customWidth="1" min="4" max="4"/>
    <col width="12" customWidth="1" min="5" max="5"/>
  </cols>
  <sheetData>
    <row r="1" ht="30" customHeight="1">
      <c r="A1" s="18" t="inlineStr">
        <is>
          <t>Distribution 4: FSD Finland — QD_PROJECT by ISIC Section &amp; Division</t>
        </is>
      </c>
    </row>
    <row r="2">
      <c r="A2" s="2" t="inlineStr">
        <is>
          <t>Total QD projects in FSD: 4  |  Projects classified from DDI XML metadata (no files downloadable)</t>
        </is>
      </c>
    </row>
    <row r="4">
      <c r="A4" s="4" t="inlineStr">
        <is>
          <t>ISIC Code</t>
        </is>
      </c>
      <c r="B4" s="4" t="inlineStr">
        <is>
          <t>Section Name</t>
        </is>
      </c>
      <c r="C4" s="4" t="inlineStr">
        <is>
          <t>Division Name</t>
        </is>
      </c>
      <c r="D4" s="4" t="inlineStr">
        <is>
          <t>Count</t>
        </is>
      </c>
      <c r="E4" s="4" t="inlineStr">
        <is>
          <t>% of Dist.</t>
        </is>
      </c>
    </row>
    <row r="5">
      <c r="A5" s="6" t="inlineStr">
        <is>
          <t>S-91</t>
        </is>
      </c>
      <c r="B5" s="5" t="inlineStr">
        <is>
          <t>Arts, entertainment and recreation</t>
        </is>
      </c>
      <c r="C5" s="5" t="inlineStr">
        <is>
          <t>Libraries, archives, museums and cultural activities</t>
        </is>
      </c>
      <c r="D5" s="6" t="n">
        <v>2</v>
      </c>
      <c r="E5" s="22">
        <f>D5/4</f>
        <v/>
      </c>
    </row>
    <row r="6">
      <c r="A6" s="9" t="inlineStr">
        <is>
          <t>N-72</t>
        </is>
      </c>
      <c r="B6" s="8" t="inlineStr">
        <is>
          <t>Professional, scientific and technical activities</t>
        </is>
      </c>
      <c r="C6" s="8" t="inlineStr">
        <is>
          <t>Scientific research and development</t>
        </is>
      </c>
      <c r="D6" s="9" t="n">
        <v>1</v>
      </c>
      <c r="E6" s="19">
        <f>D6/4</f>
        <v/>
      </c>
    </row>
    <row r="7">
      <c r="A7" s="6" t="inlineStr">
        <is>
          <t>Q-85</t>
        </is>
      </c>
      <c r="B7" s="5" t="inlineStr">
        <is>
          <t>Education</t>
        </is>
      </c>
      <c r="C7" s="5" t="inlineStr">
        <is>
          <t>Education</t>
        </is>
      </c>
      <c r="D7" s="6" t="n">
        <v>1</v>
      </c>
      <c r="E7" s="22">
        <f>D7/4</f>
        <v/>
      </c>
    </row>
    <row r="8">
      <c r="A8" s="11" t="inlineStr">
        <is>
          <t>TOTAL</t>
        </is>
      </c>
      <c r="D8" s="23">
        <f>SUM(D5:D7)</f>
        <v/>
      </c>
    </row>
    <row r="10" ht="50" customHeight="1">
      <c r="A10" s="26" t="inlineStr">
        <is>
          <t>Note: Only 4 FSD projects could be classified as QD_PROJECT. These were identified from DDI-C 2.5 XML metadata which is publicly available for all FSD studies. The low number reflects that most FSD studies (399) are classified as OTHER_PROJECT because their primary data files require Aila login.</t>
        </is>
      </c>
    </row>
    <row r="11"/>
  </sheetData>
  <mergeCells count="3">
    <mergeCell ref="A2:E2"/>
    <mergeCell ref="A1:E1"/>
    <mergeCell ref="A10:E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55" customWidth="1" min="3" max="3"/>
  </cols>
  <sheetData>
    <row r="1" ht="30" customHeight="1">
      <c r="A1" s="18" t="inlineStr">
        <is>
          <t>Part 2 — Technical Challenges with Data (Classification)</t>
        </is>
      </c>
    </row>
    <row r="3" ht="22" customHeight="1">
      <c r="A3" s="4" t="inlineStr">
        <is>
          <t>Challenge</t>
        </is>
      </c>
      <c r="B3" s="4" t="inlineStr">
        <is>
          <t>Description</t>
        </is>
      </c>
      <c r="C3" s="4" t="inlineStr">
        <is>
          <t>How Addressed</t>
        </is>
      </c>
    </row>
    <row r="4" ht="60" customHeight="1">
      <c r="A4" s="27" t="inlineStr">
        <is>
          <t>No QDA files in FSD</t>
        </is>
      </c>
      <c r="B4" s="28" t="inlineStr">
        <is>
          <t>All 403 FSD studies require Aila institutional login. No QDA or primary data files are publicly accessible. Only DDI-C 2.5 XML metadata is available.</t>
        </is>
      </c>
      <c r="C4" s="28" t="inlineStr">
        <is>
          <t>Classified FSD projects from metadata only. Recorded all files as FAILED_LOGIN_REQUIRED.</t>
        </is>
      </c>
    </row>
    <row r="5" ht="60" customHeight="1">
      <c r="A5" s="29" t="inlineStr">
        <is>
          <t>Dryad search returns non-qualitative datasets</t>
        </is>
      </c>
      <c r="B5" s="30" t="inlineStr">
        <is>
          <t>Searching for "qualitative" on Dryad returns biology, chemistry, and ecology datasets that use "qualitative" in a scientific sense (e.g. "qualitative analysis of DNA"). These are classified as OTHER_PROJECT or NOT_A_PROJECT.</t>
        </is>
      </c>
      <c r="C5" s="30" t="inlineStr">
        <is>
          <t>Downloaded all files as instructed. Classified by project type using file extensions. Will be filtered further in Part 3.</t>
        </is>
      </c>
    </row>
    <row r="6" ht="60" customHeight="1">
      <c r="A6" s="27" t="inlineStr">
        <is>
          <t>729 projects became NOT_A_PROJECT initially</t>
        </is>
      </c>
      <c r="B6" s="28" t="inlineStr">
        <is>
          <t>When classifying only by successfully downloaded files, 729 Dryad projects appeared as NOT_A_PROJECT because their files were rate-limited (HTTP 429) and not downloaded.</t>
        </is>
      </c>
      <c r="C6" s="28" t="inlineStr">
        <is>
          <t>Reclassified using ALL file records (including failed downloads) to determine what files exist in the project.</t>
        </is>
      </c>
    </row>
    <row r="7" ht="60" customHeight="1">
      <c r="A7" s="29" t="inlineStr">
        <is>
          <t>Only 1 QDA file found across both repositories</t>
        </is>
      </c>
      <c r="B7" s="30" t="inlineStr">
        <is>
          <t>Despite searching with 15 qualitative research queries, only 1 QDA file was found — a NVivo .nvp file. QDA files are rarely deposited in open repositories.</t>
        </is>
      </c>
      <c r="C7" s="30" t="inlineStr">
        <is>
          <t>Documented as a fundamental data availability issue. QDArchive itself exists to solve this problem.</t>
        </is>
      </c>
    </row>
    <row r="8" ht="60" customHeight="1">
      <c r="A8" s="27" t="inlineStr">
        <is>
          <t>FSD QD_PROJECT count very low (4)</t>
        </is>
      </c>
      <c r="B8" s="28" t="inlineStr">
        <is>
          <t>Most FSD studies are classified as OTHER_PROJECT because their primary data files require login. Only 4 studies have enough public metadata to be classified as QD_PROJECT.</t>
        </is>
      </c>
      <c r="C8" s="28" t="inlineStr">
        <is>
          <t>Accepted as platform constraint. DDI XML metadata was used to classify these 4 projects.</t>
        </is>
      </c>
    </row>
    <row r="9" ht="60" customHeight="1">
      <c r="A9" s="29" t="inlineStr">
        <is>
          <t>ISIC classification relies on metadata only</t>
        </is>
      </c>
      <c r="B9" s="30" t="inlineStr">
        <is>
          <t>For FSD projects, only title and abstract from DDI XML were available for classification. No actual file content could be read.</t>
        </is>
      </c>
      <c r="C9" s="30" t="inlineStr">
        <is>
          <t>Used Claude API to classify from metadata. Confidence levels recorded (high/medium/low) in database.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2026-05-19T17:52:41Z</dcterms:created>
  <dcterms:modified xmlns:dcterms="http://purl.org/dc/terms/" xmlns:xsi="http://www.w3.org/2001/XMLSchema-instance" xsi:type="dcterms:W3CDTF">2026-05-19T17:52:41Z</dcterms:modified>
</cp:coreProperties>
</file>